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OFTWARE\CDR\ETIKETTEN\"/>
    </mc:Choice>
  </mc:AlternateContent>
  <xr:revisionPtr revIDLastSave="0" documentId="11_13AC5C92DA419A11FD194EC9AFDACDD49EA8857C" xr6:coauthVersionLast="47" xr6:coauthVersionMax="47" xr10:uidLastSave="{00000000-0000-0000-0000-000000000000}"/>
  <bookViews>
    <workbookView xWindow="32235" yWindow="-15570" windowWidth="16410" windowHeight="14265" xr2:uid="{00000000-000D-0000-FFFF-FFFF00000000}"/>
  </bookViews>
  <sheets>
    <sheet name="Glas-Etikette" sheetId="1" r:id="rId1"/>
    <sheet name="Glas-Etikette FR" sheetId="2" r:id="rId2"/>
  </sheets>
  <definedNames>
    <definedName name="_xlnm.Print_Area" localSheetId="0">'Glas-Etikette'!$A$1:$K$23</definedName>
    <definedName name="_xlnm.Print_Area" localSheetId="1">'Glas-Etikette FR'!$A$1:$K$23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19" i="2"/>
  <c r="E19" i="2"/>
  <c r="B19" i="2"/>
  <c r="A17" i="2"/>
  <c r="K15" i="2"/>
  <c r="A14" i="2"/>
  <c r="A11" i="2"/>
  <c r="A8" i="2"/>
  <c r="G5" i="2"/>
  <c r="H4" i="2"/>
  <c r="I9" i="2" s="1"/>
  <c r="G4" i="2"/>
  <c r="I1" i="2" s="1"/>
  <c r="E20" i="1"/>
  <c r="E20" i="2" s="1"/>
  <c r="B20" i="1"/>
  <c r="B20" i="2" s="1"/>
  <c r="I9" i="1"/>
  <c r="I1" i="1"/>
</calcChain>
</file>

<file path=xl/sharedStrings.xml><?xml version="1.0" encoding="utf-8"?>
<sst xmlns="http://schemas.openxmlformats.org/spreadsheetml/2006/main" count="37" uniqueCount="31">
  <si>
    <t>*000000000000*</t>
  </si>
  <si>
    <t>AU/Pos</t>
  </si>
  <si>
    <t>Termin</t>
  </si>
  <si>
    <t>Kunde</t>
  </si>
  <si>
    <t>Glas Trösch SA, succursale Bulle</t>
  </si>
  <si>
    <t>Kommission</t>
  </si>
  <si>
    <t>635953 / ISO CDR</t>
  </si>
  <si>
    <t>Kunden-Pos.</t>
  </si>
  <si>
    <t>Verbund- und Verbundsicherheitsglas mit Anforderung an den Feuerwiderstand</t>
  </si>
  <si>
    <t>FSF 30-15  *** ISO 1 ***</t>
  </si>
  <si>
    <t>Menge [Stk]</t>
  </si>
  <si>
    <t>Breite [mm]</t>
  </si>
  <si>
    <t>Höhe [mm]</t>
  </si>
  <si>
    <t>Fläche [m²]</t>
  </si>
  <si>
    <t>Umfang [lfm]</t>
  </si>
  <si>
    <t>Gewicht [kg]</t>
  </si>
  <si>
    <t>Nach dem Einbau ist das Etikett sofort zu entfernen.</t>
  </si>
  <si>
    <t>EN 14449</t>
  </si>
  <si>
    <t>CDR Glas AG | 3253 Schnottwil | 032 312 03 00 | www.cdr.ch</t>
  </si>
  <si>
    <t>Délai</t>
  </si>
  <si>
    <t>Client</t>
  </si>
  <si>
    <t>Commission</t>
  </si>
  <si>
    <t>Pos. de client</t>
  </si>
  <si>
    <t>Verre feuilleté et verre de sécurité feuilleté avec exigence de résistance au feu</t>
  </si>
  <si>
    <t>Quantité [Pcs]</t>
  </si>
  <si>
    <t>Largeur [mm]</t>
  </si>
  <si>
    <t>Hauteur [mm]</t>
  </si>
  <si>
    <t>Surface [m²]</t>
  </si>
  <si>
    <t>Circonfér. [ml]</t>
  </si>
  <si>
    <t>Poids [kg]</t>
  </si>
  <si>
    <t>Enlever l'etiquette immédiatement après la 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</si>
</sst>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AU &quot;0"/>
    <numFmt numFmtId="165" formatCode="dd/mm/yy;@"/>
    <numFmt numFmtId="166" formatCode="&quot;P &quot;000"/>
    <numFmt numFmtId="167" formatCode="0.0"/>
    <numFmt numFmtId="168" formatCode="00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DIN Next LT Pro"/>
      <family val="2"/>
    </font>
    <font>
      <sz val="26"/>
      <color theme="1"/>
      <name val="Code-39-hoch©by Logitogo 2008"/>
      <charset val="2"/>
    </font>
    <font>
      <sz val="16"/>
      <color theme="1"/>
      <name val="DIN Next LT Pro"/>
      <family val="2"/>
    </font>
    <font>
      <sz val="18"/>
      <color theme="1"/>
      <name val="DIN Next LT Pro"/>
      <family val="2"/>
    </font>
    <font>
      <sz val="12"/>
      <color theme="1"/>
      <name val="DIN Next LT Pro Bold"/>
      <family val="2"/>
    </font>
    <font>
      <sz val="12"/>
      <color theme="1"/>
      <name val="DIN Next LT Pro"/>
      <family val="2"/>
    </font>
    <font>
      <sz val="10"/>
      <color theme="1"/>
      <name val="DIN Next LT Pro Bold"/>
      <family val="2"/>
    </font>
    <font>
      <sz val="8"/>
      <color theme="1"/>
      <name val="DIN Next LT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 textRotation="180"/>
    </xf>
    <xf numFmtId="0" fontId="1" fillId="0" borderId="0" xfId="0" applyFont="1" applyAlignment="1">
      <alignment vertical="center"/>
    </xf>
    <xf numFmtId="1" fontId="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67" fontId="7" fillId="0" borderId="0" xfId="0" applyNumberFormat="1" applyFont="1" applyAlignment="1">
      <alignment horizontal="left" vertical="center"/>
    </xf>
    <xf numFmtId="0" fontId="8" fillId="0" borderId="0" xfId="0" applyFont="1"/>
    <xf numFmtId="168" fontId="8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textRotation="180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 textRotation="180"/>
    </xf>
    <xf numFmtId="1" fontId="3" fillId="0" borderId="0" xfId="0" applyNumberFormat="1" applyFont="1" applyAlignment="1">
      <alignment horizontal="center" textRotation="180"/>
    </xf>
    <xf numFmtId="0" fontId="4" fillId="0" borderId="0" xfId="0" applyFont="1" applyAlignment="1">
      <alignment horizontal="center" vertical="center" textRotation="180"/>
    </xf>
    <xf numFmtId="166" fontId="3" fillId="0" borderId="0" xfId="0" applyNumberFormat="1" applyFont="1" applyAlignment="1">
      <alignment horizontal="center" vertical="top" textRotation="180"/>
    </xf>
    <xf numFmtId="165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356230</xdr:colOff>
      <xdr:row>4</xdr:row>
      <xdr:rowOff>173925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7755" cy="774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114300</xdr:colOff>
      <xdr:row>21</xdr:row>
      <xdr:rowOff>0</xdr:rowOff>
    </xdr:from>
    <xdr:to>
      <xdr:col>6</xdr:col>
      <xdr:colOff>474300</xdr:colOff>
      <xdr:row>22</xdr:row>
      <xdr:rowOff>133350</xdr:rowOff>
    </xdr:to>
    <xdr:pic>
      <xdr:nvPicPr>
        <xdr:cNvPr id="5" name="Bild 1" descr="Ce Ico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12943" b="12416"/>
        <a:stretch>
          <a:fillRect/>
        </a:stretch>
      </xdr:blipFill>
      <xdr:spPr bwMode="auto">
        <a:xfrm>
          <a:off x="2828925" y="3324225"/>
          <a:ext cx="360000" cy="2762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356230</xdr:colOff>
      <xdr:row>4</xdr:row>
      <xdr:rowOff>173925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7755" cy="774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114300</xdr:colOff>
      <xdr:row>21</xdr:row>
      <xdr:rowOff>0</xdr:rowOff>
    </xdr:from>
    <xdr:to>
      <xdr:col>6</xdr:col>
      <xdr:colOff>474300</xdr:colOff>
      <xdr:row>22</xdr:row>
      <xdr:rowOff>133350</xdr:rowOff>
    </xdr:to>
    <xdr:pic>
      <xdr:nvPicPr>
        <xdr:cNvPr id="3" name="Bild 1" descr="Ce Ico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12943" b="12416"/>
        <a:stretch>
          <a:fillRect/>
        </a:stretch>
      </xdr:blipFill>
      <xdr:spPr bwMode="auto">
        <a:xfrm>
          <a:off x="2828925" y="3324225"/>
          <a:ext cx="360000" cy="2762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8"/>
  <dimension ref="A1:K23"/>
  <sheetViews>
    <sheetView tabSelected="1" workbookViewId="0">
      <selection activeCell="K27" sqref="K27"/>
    </sheetView>
  </sheetViews>
  <sheetFormatPr baseColWidth="10" defaultColWidth="9.140625" defaultRowHeight="15" x14ac:dyDescent="0.25"/>
  <cols>
    <col min="1" max="1" width="11.5703125" customWidth="1"/>
    <col min="2" max="2" width="7.5703125" customWidth="1"/>
    <col min="3" max="3" width="1.140625" customWidth="1"/>
    <col min="4" max="4" width="11.5703125" customWidth="1"/>
    <col min="5" max="5" width="7.5703125" customWidth="1"/>
    <col min="6" max="6" width="1.28515625" customWidth="1"/>
    <col min="7" max="7" width="11.5703125" customWidth="1"/>
    <col min="8" max="8" width="7.5703125" customWidth="1"/>
    <col min="9" max="9" width="6.42578125" customWidth="1"/>
    <col min="10" max="10" width="1.140625" customWidth="1"/>
    <col min="11" max="11" width="4.42578125" customWidth="1"/>
    <col min="12" max="12" width="12.7109375" customWidth="1"/>
    <col min="13" max="13" width="9.140625" customWidth="1"/>
  </cols>
  <sheetData>
    <row r="1" spans="1:11" ht="14.1" customHeight="1" x14ac:dyDescent="0.25">
      <c r="A1" s="10"/>
      <c r="B1" s="11"/>
      <c r="C1" s="11"/>
      <c r="D1" s="11"/>
      <c r="E1" s="23" t="s">
        <v>0</v>
      </c>
      <c r="F1" s="11"/>
      <c r="G1" s="11"/>
      <c r="H1" s="11"/>
      <c r="I1" s="16">
        <f>G4</f>
        <v>143430</v>
      </c>
      <c r="J1" s="20"/>
      <c r="K1" s="18" t="s">
        <v>0</v>
      </c>
    </row>
    <row r="2" spans="1:11" ht="14.1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5.85" customHeight="1" x14ac:dyDescent="0.25">
      <c r="A3" s="11"/>
      <c r="B3" s="11"/>
      <c r="C3" s="11"/>
      <c r="D3" s="11"/>
      <c r="E3" s="10"/>
      <c r="F3" s="11"/>
      <c r="G3" s="11"/>
      <c r="H3" s="11"/>
      <c r="I3" s="11"/>
      <c r="J3" s="11"/>
      <c r="K3" s="11"/>
    </row>
    <row r="4" spans="1:11" ht="15.6" customHeight="1" x14ac:dyDescent="0.25">
      <c r="A4" s="11"/>
      <c r="B4" s="11"/>
      <c r="C4" s="11"/>
      <c r="D4" s="11"/>
      <c r="E4" s="12" t="s">
        <v>1</v>
      </c>
      <c r="F4" s="11"/>
      <c r="G4" s="1">
        <v>143430</v>
      </c>
      <c r="H4" s="1">
        <v>4</v>
      </c>
      <c r="I4" s="11"/>
      <c r="J4" s="11"/>
      <c r="K4" s="11"/>
    </row>
    <row r="5" spans="1:11" ht="15" customHeight="1" x14ac:dyDescent="0.25">
      <c r="A5" s="11"/>
      <c r="B5" s="11"/>
      <c r="C5" s="11"/>
      <c r="D5" s="11"/>
      <c r="E5" s="12" t="s">
        <v>2</v>
      </c>
      <c r="F5" s="11"/>
      <c r="G5" s="22">
        <v>46107</v>
      </c>
      <c r="H5" s="11"/>
      <c r="I5" s="11"/>
      <c r="J5" s="11"/>
      <c r="K5" s="11"/>
    </row>
    <row r="6" spans="1:11" ht="15" customHeight="1" x14ac:dyDescent="0.25">
      <c r="A6" s="10"/>
      <c r="B6" s="11"/>
      <c r="C6" s="11"/>
      <c r="D6" s="11"/>
      <c r="E6" s="12"/>
      <c r="F6" s="11"/>
      <c r="G6" s="13"/>
      <c r="H6" s="11"/>
      <c r="I6" s="11"/>
      <c r="J6" s="11"/>
      <c r="K6" s="11"/>
    </row>
    <row r="7" spans="1:11" ht="11.85" customHeight="1" x14ac:dyDescent="0.25">
      <c r="A7" s="12" t="s">
        <v>3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5.6" customHeight="1" x14ac:dyDescent="0.25">
      <c r="A8" s="13" t="s">
        <v>4</v>
      </c>
      <c r="B8" s="11"/>
      <c r="C8" s="11"/>
      <c r="D8" s="11"/>
      <c r="E8" s="11"/>
      <c r="F8" s="11"/>
      <c r="G8" s="11"/>
      <c r="H8" s="11"/>
      <c r="I8" s="2"/>
      <c r="J8" s="11"/>
      <c r="K8" s="11"/>
    </row>
    <row r="9" spans="1:11" ht="5.85" customHeight="1" x14ac:dyDescent="0.25">
      <c r="A9" s="12"/>
      <c r="B9" s="11"/>
      <c r="C9" s="11"/>
      <c r="D9" s="11"/>
      <c r="E9" s="11"/>
      <c r="F9" s="11"/>
      <c r="G9" s="11"/>
      <c r="H9" s="11"/>
      <c r="I9" s="21">
        <f>H4</f>
        <v>4</v>
      </c>
      <c r="J9" s="11"/>
      <c r="K9" s="11"/>
    </row>
    <row r="10" spans="1:11" ht="14.1" customHeight="1" x14ac:dyDescent="0.25">
      <c r="A10" s="12" t="s">
        <v>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5.6" customHeight="1" x14ac:dyDescent="0.25">
      <c r="A11" s="13" t="s">
        <v>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5.85" customHeight="1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14.1" customHeight="1" x14ac:dyDescent="0.25">
      <c r="A13" s="12" t="s">
        <v>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ht="15.6" customHeight="1" x14ac:dyDescent="0.25">
      <c r="A14" s="13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.5" customHeight="1" x14ac:dyDescent="0.25">
      <c r="A15" s="17"/>
      <c r="B15" s="11"/>
      <c r="C15" s="11"/>
      <c r="D15" s="11"/>
      <c r="E15" s="11"/>
      <c r="F15" s="11"/>
      <c r="G15" s="11"/>
      <c r="H15" s="11"/>
      <c r="I15" s="11"/>
      <c r="J15" s="11"/>
      <c r="K15" s="19"/>
    </row>
    <row r="16" spans="1:11" ht="14.1" customHeight="1" x14ac:dyDescent="0.25">
      <c r="A16" s="12" t="s">
        <v>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5.6" customHeight="1" x14ac:dyDescent="0.25">
      <c r="A17" s="15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ht="5.85" customHeight="1" x14ac:dyDescent="0.25">
      <c r="A18" s="12"/>
      <c r="B18" s="11"/>
      <c r="C18" s="11"/>
      <c r="D18" s="11"/>
      <c r="E18" s="11"/>
      <c r="F18" s="11"/>
      <c r="G18" s="11"/>
      <c r="H18" s="11"/>
      <c r="J18" s="11"/>
      <c r="K18" s="11"/>
    </row>
    <row r="19" spans="1:11" ht="15.6" customHeight="1" x14ac:dyDescent="0.25">
      <c r="A19" s="3" t="s">
        <v>10</v>
      </c>
      <c r="B19" s="4">
        <v>2</v>
      </c>
      <c r="D19" s="3" t="s">
        <v>11</v>
      </c>
      <c r="E19" s="5">
        <v>1728</v>
      </c>
      <c r="G19" s="3" t="s">
        <v>12</v>
      </c>
      <c r="H19" s="5">
        <v>630</v>
      </c>
      <c r="J19" s="11"/>
      <c r="K19" s="11"/>
    </row>
    <row r="20" spans="1:11" ht="15.6" customHeight="1" x14ac:dyDescent="0.25">
      <c r="A20" s="3" t="s">
        <v>13</v>
      </c>
      <c r="B20" s="6">
        <f>(E19/1000)*(H19/1000)</f>
        <v>1.0886400000000001</v>
      </c>
      <c r="D20" s="3" t="s">
        <v>14</v>
      </c>
      <c r="E20" s="6">
        <f>(E19/1000)*2+(H19/1000)*2</f>
        <v>4.7160000000000002</v>
      </c>
      <c r="G20" s="3" t="s">
        <v>15</v>
      </c>
      <c r="H20" s="7">
        <v>38.1</v>
      </c>
      <c r="J20" s="11"/>
      <c r="K20" s="11"/>
    </row>
    <row r="21" spans="1:11" ht="13.5" customHeight="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1.85" customHeight="1" x14ac:dyDescent="0.25">
      <c r="A22" s="12" t="s">
        <v>16</v>
      </c>
      <c r="B22" s="11"/>
      <c r="C22" s="11"/>
      <c r="D22" s="11"/>
      <c r="E22" s="11"/>
      <c r="F22" s="11"/>
      <c r="G22" s="8">
        <v>24</v>
      </c>
      <c r="H22" s="10" t="s">
        <v>17</v>
      </c>
      <c r="I22" s="11"/>
      <c r="J22" s="11"/>
      <c r="K22" s="11"/>
    </row>
    <row r="23" spans="1:11" ht="11.85" customHeight="1" x14ac:dyDescent="0.25">
      <c r="A23" s="14" t="s">
        <v>18</v>
      </c>
      <c r="B23" s="11"/>
      <c r="C23" s="11"/>
      <c r="D23" s="11"/>
      <c r="E23" s="11"/>
      <c r="F23" s="11"/>
      <c r="G23" s="9">
        <v>757</v>
      </c>
      <c r="H23" s="11"/>
      <c r="I23" s="11"/>
      <c r="J23" s="11"/>
      <c r="K23" s="11"/>
    </row>
  </sheetData>
  <mergeCells count="30">
    <mergeCell ref="K1:K14"/>
    <mergeCell ref="A8:H8"/>
    <mergeCell ref="K15:K23"/>
    <mergeCell ref="A1:D5"/>
    <mergeCell ref="A10:H10"/>
    <mergeCell ref="A13:H13"/>
    <mergeCell ref="A16:I16"/>
    <mergeCell ref="J1:J23"/>
    <mergeCell ref="A12:H12"/>
    <mergeCell ref="A18:H18"/>
    <mergeCell ref="E6:F6"/>
    <mergeCell ref="I9:I15"/>
    <mergeCell ref="A6:D6"/>
    <mergeCell ref="G5:H5"/>
    <mergeCell ref="A14:H14"/>
    <mergeCell ref="E1:H2"/>
    <mergeCell ref="E4:F4"/>
    <mergeCell ref="A7:H7"/>
    <mergeCell ref="E3:H3"/>
    <mergeCell ref="A17:I17"/>
    <mergeCell ref="G6:H6"/>
    <mergeCell ref="I1:I7"/>
    <mergeCell ref="A9:H9"/>
    <mergeCell ref="A15:H15"/>
    <mergeCell ref="H22:I23"/>
    <mergeCell ref="E5:F5"/>
    <mergeCell ref="A11:H11"/>
    <mergeCell ref="A23:F23"/>
    <mergeCell ref="A22:F22"/>
    <mergeCell ref="A21:I21"/>
  </mergeCells>
  <pageMargins left="7.874015748031496E-2" right="7.874015748031496E-2" top="7.874015748031496E-2" bottom="0" header="0" footer="0"/>
  <pageSetup paperSize="257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0"/>
  <dimension ref="A1:K27"/>
  <sheetViews>
    <sheetView workbookViewId="0">
      <selection activeCell="L20" sqref="L20"/>
    </sheetView>
  </sheetViews>
  <sheetFormatPr baseColWidth="10" defaultColWidth="9.140625" defaultRowHeight="15" x14ac:dyDescent="0.25"/>
  <cols>
    <col min="1" max="1" width="11.5703125" customWidth="1"/>
    <col min="2" max="2" width="7.5703125" customWidth="1"/>
    <col min="3" max="3" width="1.140625" customWidth="1"/>
    <col min="4" max="4" width="11.5703125" customWidth="1"/>
    <col min="5" max="5" width="7.5703125" customWidth="1"/>
    <col min="6" max="6" width="1.28515625" customWidth="1"/>
    <col min="7" max="7" width="11.5703125" customWidth="1"/>
    <col min="8" max="8" width="7.5703125" customWidth="1"/>
    <col min="9" max="9" width="6.42578125" customWidth="1"/>
    <col min="10" max="10" width="1.140625" customWidth="1"/>
    <col min="11" max="11" width="4.42578125" customWidth="1"/>
    <col min="12" max="12" width="12.7109375" customWidth="1"/>
    <col min="13" max="13" width="9.140625" customWidth="1"/>
  </cols>
  <sheetData>
    <row r="1" spans="1:11" ht="14.1" customHeight="1" x14ac:dyDescent="0.25">
      <c r="A1" s="10"/>
      <c r="B1" s="11"/>
      <c r="C1" s="11"/>
      <c r="D1" s="11"/>
      <c r="E1" s="23" t="s">
        <v>0</v>
      </c>
      <c r="F1" s="11"/>
      <c r="G1" s="11"/>
      <c r="H1" s="11"/>
      <c r="I1" s="16">
        <f>G4</f>
        <v>143430</v>
      </c>
      <c r="J1" s="20"/>
      <c r="K1" s="18" t="s">
        <v>0</v>
      </c>
    </row>
    <row r="2" spans="1:11" ht="14.1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5.85" customHeight="1" x14ac:dyDescent="0.25">
      <c r="A3" s="11"/>
      <c r="B3" s="11"/>
      <c r="C3" s="11"/>
      <c r="D3" s="11"/>
      <c r="E3" s="10"/>
      <c r="F3" s="11"/>
      <c r="G3" s="11"/>
      <c r="H3" s="11"/>
      <c r="I3" s="11"/>
      <c r="J3" s="11"/>
      <c r="K3" s="11"/>
    </row>
    <row r="4" spans="1:11" ht="15.6" customHeight="1" x14ac:dyDescent="0.25">
      <c r="A4" s="11"/>
      <c r="B4" s="11"/>
      <c r="C4" s="11"/>
      <c r="D4" s="11"/>
      <c r="E4" s="12" t="s">
        <v>1</v>
      </c>
      <c r="F4" s="11"/>
      <c r="G4" s="1">
        <f>'Glas-Etikette'!G4</f>
        <v>143430</v>
      </c>
      <c r="H4" s="1">
        <f>'Glas-Etikette'!H4</f>
        <v>4</v>
      </c>
      <c r="I4" s="11"/>
      <c r="J4" s="11"/>
      <c r="K4" s="11"/>
    </row>
    <row r="5" spans="1:11" ht="15" customHeight="1" x14ac:dyDescent="0.25">
      <c r="A5" s="11"/>
      <c r="B5" s="11"/>
      <c r="C5" s="11"/>
      <c r="D5" s="11"/>
      <c r="E5" s="12" t="s">
        <v>19</v>
      </c>
      <c r="F5" s="11"/>
      <c r="G5" s="22">
        <f>'Glas-Etikette'!G5</f>
        <v>46107</v>
      </c>
      <c r="H5" s="11"/>
      <c r="I5" s="11"/>
      <c r="J5" s="11"/>
      <c r="K5" s="11"/>
    </row>
    <row r="6" spans="1:11" ht="15" customHeight="1" x14ac:dyDescent="0.25">
      <c r="A6" s="10"/>
      <c r="B6" s="11"/>
      <c r="C6" s="11"/>
      <c r="D6" s="11"/>
      <c r="E6" s="12"/>
      <c r="F6" s="11"/>
      <c r="G6" s="24"/>
      <c r="H6" s="11"/>
      <c r="I6" s="11"/>
      <c r="J6" s="11"/>
      <c r="K6" s="11"/>
    </row>
    <row r="7" spans="1:11" ht="11.85" customHeight="1" x14ac:dyDescent="0.25">
      <c r="A7" s="12" t="s">
        <v>20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5.6" customHeight="1" x14ac:dyDescent="0.25">
      <c r="A8" s="13" t="str">
        <f>'Glas-Etikette'!A8</f>
        <v>Glas Trösch SA, succursale Bulle</v>
      </c>
      <c r="B8" s="11"/>
      <c r="C8" s="11"/>
      <c r="D8" s="11"/>
      <c r="E8" s="11"/>
      <c r="F8" s="11"/>
      <c r="G8" s="11"/>
      <c r="H8" s="11"/>
      <c r="I8" s="2"/>
      <c r="J8" s="11"/>
      <c r="K8" s="11"/>
    </row>
    <row r="9" spans="1:11" ht="5.85" customHeight="1" x14ac:dyDescent="0.25">
      <c r="A9" s="12"/>
      <c r="B9" s="11"/>
      <c r="C9" s="11"/>
      <c r="D9" s="11"/>
      <c r="E9" s="11"/>
      <c r="F9" s="11"/>
      <c r="G9" s="11"/>
      <c r="H9" s="11"/>
      <c r="I9" s="21">
        <f>H4</f>
        <v>4</v>
      </c>
      <c r="J9" s="11"/>
      <c r="K9" s="11"/>
    </row>
    <row r="10" spans="1:11" ht="14.1" customHeight="1" x14ac:dyDescent="0.25">
      <c r="A10" s="12" t="s">
        <v>21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5" customHeight="1" x14ac:dyDescent="0.25">
      <c r="A11" s="13" t="str">
        <f>'Glas-Etikette'!A11</f>
        <v>635953 / ISO CDR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5.85" customHeight="1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14.1" customHeight="1" x14ac:dyDescent="0.25">
      <c r="A13" s="12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ht="15" customHeight="1" x14ac:dyDescent="0.25">
      <c r="A14" s="13" t="str">
        <f>IF('Glas-Etikette'!A14="","",'Glas-Etikette'!A14)</f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.5" customHeight="1" x14ac:dyDescent="0.25">
      <c r="A15" s="17"/>
      <c r="B15" s="11"/>
      <c r="C15" s="11"/>
      <c r="D15" s="11"/>
      <c r="E15" s="11"/>
      <c r="F15" s="11"/>
      <c r="G15" s="11"/>
      <c r="H15" s="11"/>
      <c r="I15" s="11"/>
      <c r="J15" s="11"/>
      <c r="K15" s="19">
        <f>'Glas-Etikette'!K15</f>
        <v>0</v>
      </c>
    </row>
    <row r="16" spans="1:11" ht="14.1" customHeight="1" x14ac:dyDescent="0.25">
      <c r="A16" s="12" t="s">
        <v>23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5.6" customHeight="1" x14ac:dyDescent="0.25">
      <c r="A17" s="13" t="str">
        <f>'Glas-Etikette'!A17</f>
        <v>FSF 30-15  *** ISO 1 ***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ht="5.85" customHeight="1" x14ac:dyDescent="0.25">
      <c r="A18" s="12"/>
      <c r="B18" s="11"/>
      <c r="C18" s="11"/>
      <c r="D18" s="11"/>
      <c r="E18" s="11"/>
      <c r="F18" s="11"/>
      <c r="G18" s="11"/>
      <c r="H18" s="11"/>
      <c r="J18" s="11"/>
      <c r="K18" s="11"/>
    </row>
    <row r="19" spans="1:11" ht="15.6" customHeight="1" x14ac:dyDescent="0.25">
      <c r="A19" s="3" t="s">
        <v>24</v>
      </c>
      <c r="B19" s="4">
        <f>'Glas-Etikette'!B19</f>
        <v>2</v>
      </c>
      <c r="D19" s="3" t="s">
        <v>25</v>
      </c>
      <c r="E19" s="5">
        <f>'Glas-Etikette'!E19</f>
        <v>1728</v>
      </c>
      <c r="G19" s="3" t="s">
        <v>26</v>
      </c>
      <c r="H19" s="5">
        <f>'Glas-Etikette'!H19</f>
        <v>630</v>
      </c>
      <c r="J19" s="11"/>
      <c r="K19" s="11"/>
    </row>
    <row r="20" spans="1:11" ht="15.6" customHeight="1" x14ac:dyDescent="0.25">
      <c r="A20" s="3" t="s">
        <v>27</v>
      </c>
      <c r="B20" s="6">
        <f>'Glas-Etikette'!B20</f>
        <v>1.0886400000000001</v>
      </c>
      <c r="D20" s="3" t="s">
        <v>28</v>
      </c>
      <c r="E20" s="6">
        <f>'Glas-Etikette'!E20</f>
        <v>4.7160000000000002</v>
      </c>
      <c r="G20" s="3" t="s">
        <v>29</v>
      </c>
      <c r="H20" s="7">
        <f>'Glas-Etikette'!H20</f>
        <v>38.1</v>
      </c>
      <c r="J20" s="11"/>
      <c r="K20" s="11"/>
    </row>
    <row r="21" spans="1:11" ht="13.5" customHeight="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1.85" customHeight="1" x14ac:dyDescent="0.25">
      <c r="A22" s="12" t="s">
        <v>30</v>
      </c>
      <c r="B22" s="11"/>
      <c r="C22" s="11"/>
      <c r="D22" s="11"/>
      <c r="E22" s="11"/>
      <c r="F22" s="11"/>
      <c r="G22" s="8">
        <v>24</v>
      </c>
      <c r="H22" s="10" t="s">
        <v>17</v>
      </c>
      <c r="I22" s="11"/>
      <c r="J22" s="11"/>
      <c r="K22" s="11"/>
    </row>
    <row r="23" spans="1:11" ht="11.85" customHeight="1" x14ac:dyDescent="0.25">
      <c r="A23" s="14" t="s">
        <v>18</v>
      </c>
      <c r="B23" s="11"/>
      <c r="C23" s="11"/>
      <c r="D23" s="11"/>
      <c r="E23" s="11"/>
      <c r="F23" s="11"/>
      <c r="G23" s="9">
        <v>757</v>
      </c>
      <c r="H23" s="11"/>
      <c r="I23" s="11"/>
      <c r="J23" s="11"/>
      <c r="K23" s="11"/>
    </row>
    <row r="27" spans="1:11" ht="14.1" customHeight="1" x14ac:dyDescent="0.25"/>
  </sheetData>
  <mergeCells count="30">
    <mergeCell ref="K1:K14"/>
    <mergeCell ref="A8:H8"/>
    <mergeCell ref="K15:K23"/>
    <mergeCell ref="A1:D5"/>
    <mergeCell ref="A10:H10"/>
    <mergeCell ref="A13:H13"/>
    <mergeCell ref="A16:I16"/>
    <mergeCell ref="J1:J23"/>
    <mergeCell ref="A12:H12"/>
    <mergeCell ref="A18:H18"/>
    <mergeCell ref="E6:F6"/>
    <mergeCell ref="I9:I15"/>
    <mergeCell ref="A6:D6"/>
    <mergeCell ref="G5:H5"/>
    <mergeCell ref="A14:H14"/>
    <mergeCell ref="E1:H2"/>
    <mergeCell ref="E4:F4"/>
    <mergeCell ref="A7:H7"/>
    <mergeCell ref="E3:H3"/>
    <mergeCell ref="A17:I17"/>
    <mergeCell ref="G6:H6"/>
    <mergeCell ref="I1:I7"/>
    <mergeCell ref="A9:H9"/>
    <mergeCell ref="A15:H15"/>
    <mergeCell ref="H22:I23"/>
    <mergeCell ref="E5:F5"/>
    <mergeCell ref="A11:H11"/>
    <mergeCell ref="A23:F23"/>
    <mergeCell ref="A22:F22"/>
    <mergeCell ref="A21:I21"/>
  </mergeCells>
  <pageMargins left="7.874015748031496E-2" right="7.874015748031496E-2" top="7.874015748031496E-2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Glas-Etikette</vt:lpstr>
      <vt:lpstr>Glas-Etikette FR</vt:lpstr>
      <vt:lpstr>'Glas-Etikette'!Druckbereich</vt:lpstr>
      <vt:lpstr>'Glas-Etikette FR'!Druckbereich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Loacker</cp:lastModifiedBy>
  <cp:lastPrinted>2026-03-19T12:40:31Z</cp:lastPrinted>
  <dcterms:created xsi:type="dcterms:W3CDTF">2026-03-18T15:41:18Z</dcterms:created>
  <dcterms:modified xsi:type="dcterms:W3CDTF">2026-03-19T12:40:43Z</dcterms:modified>
</cp:coreProperties>
</file>