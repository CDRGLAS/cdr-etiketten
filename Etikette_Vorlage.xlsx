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las-Etikette" sheetId="1" state="visible" r:id="rId1"/>
    <sheet name="Glas-Etikette FR" sheetId="2" state="visible" r:id="rId2"/>
  </sheets>
  <definedNames>
    <definedName name="_xlnm.Print_Area" localSheetId="0">'Glas-Etikette'!$A$1:$K$23</definedName>
    <definedName name="_xlnm.Print_Area" localSheetId="1">'Glas-Etikette FR'!$A$1:$K$23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AU &quot;0"/>
    <numFmt numFmtId="165" formatCode="dd/mm/yy;@"/>
    <numFmt numFmtId="166" formatCode="&quot;P &quot;000"/>
    <numFmt numFmtId="167" formatCode="0.0"/>
    <numFmt numFmtId="168" formatCode="0000"/>
  </numFmts>
  <fonts count="10">
    <font>
      <name val="Calibri"/>
      <family val="2"/>
      <color theme="1"/>
      <sz val="11"/>
      <scheme val="minor"/>
    </font>
    <font>
      <name val="DIN Next LT Pro"/>
      <family val="2"/>
      <color theme="1"/>
      <sz val="10"/>
    </font>
    <font>
      <name val="Code-39-hoch©by Logitogo 2008"/>
      <charset val="2"/>
      <color theme="1"/>
      <sz val="26"/>
    </font>
    <font>
      <name val="DIN Next LT Pro"/>
      <family val="2"/>
      <color theme="1"/>
      <sz val="16"/>
    </font>
    <font>
      <name val="DIN Next LT Pro"/>
      <family val="2"/>
      <color theme="1"/>
      <sz val="18"/>
    </font>
    <font>
      <name val="DIN Next LT Pro Bold"/>
      <family val="2"/>
      <color theme="1"/>
      <sz val="12"/>
    </font>
    <font>
      <name val="DIN Next LT Pro"/>
      <family val="2"/>
      <color theme="1"/>
      <sz val="12"/>
    </font>
    <font>
      <name val="DIN Next LT Pro Bold"/>
      <family val="2"/>
      <color theme="1"/>
      <sz val="10"/>
    </font>
    <font>
      <name val="DIN Next LT Pro"/>
      <family val="2"/>
      <color theme="1"/>
      <sz val="8"/>
    </font>
    <font>
      <name val="Code 39-hoch-Logitogo"/>
      <charset val="2"/>
      <color theme="1"/>
      <sz val="26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164" fontId="3" fillId="0" borderId="0" applyAlignment="1" applyProtection="1" pivotButton="0" quotePrefix="0" xfId="0">
      <alignment horizontal="center" textRotation="180"/>
      <protection locked="0" hidden="0"/>
    </xf>
    <xf numFmtId="0" fontId="4" fillId="0" borderId="0" applyAlignment="1" pivotButton="0" quotePrefix="0" xfId="0">
      <alignment horizontal="center" vertical="center" textRotation="180"/>
    </xf>
    <xf numFmtId="0" fontId="2" fillId="0" borderId="0" applyAlignment="1" applyProtection="1" pivotButton="0" quotePrefix="0" xfId="0">
      <alignment horizontal="center" vertical="top" textRotation="180"/>
      <protection locked="0" hidden="0"/>
    </xf>
    <xf numFmtId="0" fontId="1" fillId="0" borderId="0" applyAlignment="1" pivotButton="0" quotePrefix="0" xfId="0">
      <alignment horizontal="left" vertical="center"/>
    </xf>
    <xf numFmtId="1" fontId="5" fillId="0" borderId="0" applyAlignment="1" applyProtection="1" pivotButton="0" quotePrefix="0" xfId="0">
      <alignment horizontal="left" vertical="center"/>
      <protection locked="0" hidden="0"/>
    </xf>
    <xf numFmtId="165" fontId="5" fillId="0" borderId="0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vertical="center" textRotation="180"/>
    </xf>
    <xf numFmtId="166" fontId="3" fillId="0" borderId="0" applyAlignment="1" applyProtection="1" pivotButton="0" quotePrefix="0" xfId="0">
      <alignment horizontal="center" vertical="top" textRotation="180"/>
      <protection locked="0" hidden="0"/>
    </xf>
    <xf numFmtId="0" fontId="6" fillId="0" borderId="0" applyAlignment="1" pivotButton="0" quotePrefix="0" xfId="0">
      <alignment horizontal="left" vertical="center"/>
    </xf>
    <xf numFmtId="1" fontId="3" fillId="0" borderId="0" applyAlignment="1" applyProtection="1" pivotButton="0" quotePrefix="0" xfId="0">
      <alignment horizontal="center" textRotation="180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0" applyAlignment="1" pivotButton="0" quotePrefix="0" xfId="0">
      <alignment vertical="center"/>
    </xf>
    <xf numFmtId="1" fontId="7" fillId="0" borderId="0" applyAlignment="1" applyProtection="1" pivotButton="0" quotePrefix="0" xfId="0">
      <alignment horizontal="left" vertical="center"/>
      <protection locked="0" hidden="0"/>
    </xf>
    <xf numFmtId="3" fontId="7" fillId="0" borderId="0" applyAlignment="1" applyProtection="1" pivotButton="0" quotePrefix="0" xfId="0">
      <alignment horizontal="left" vertical="center"/>
      <protection locked="0" hidden="0"/>
    </xf>
    <xf numFmtId="2" fontId="7" fillId="0" borderId="0" applyAlignment="1" applyProtection="1" pivotButton="0" quotePrefix="0" xfId="0">
      <alignment horizontal="left" vertical="center"/>
      <protection locked="0" hidden="0"/>
    </xf>
    <xf numFmtId="167" fontId="7" fillId="0" borderId="0" applyAlignment="1" applyProtection="1" pivotButton="0" quotePrefix="0" xfId="0">
      <alignment horizontal="left" vertical="center"/>
      <protection locked="0" hidden="0"/>
    </xf>
    <xf numFmtId="0" fontId="8" fillId="0" borderId="0" pivotButton="0" quotePrefix="0" xfId="0"/>
    <xf numFmtId="0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vertical="top"/>
    </xf>
    <xf numFmtId="0" fontId="7" fillId="0" borderId="0" applyAlignment="1" applyProtection="1" pivotButton="0" quotePrefix="0" xfId="0">
      <alignment horizontal="left" vertical="center"/>
      <protection locked="0" hidden="0"/>
    </xf>
    <xf numFmtId="0" fontId="9" fillId="0" borderId="0" applyAlignment="1" applyProtection="1" pivotButton="0" quotePrefix="0" xfId="0">
      <alignment horizontal="left" vertical="center"/>
      <protection locked="0" hidden="0"/>
    </xf>
    <xf numFmtId="0" fontId="9" fillId="0" borderId="0" applyAlignment="1" applyProtection="1" pivotButton="0" quotePrefix="0" xfId="0">
      <alignment horizontal="center" vertical="top" textRotation="180"/>
      <protection locked="0" hidden="0"/>
    </xf>
    <xf numFmtId="165" fontId="5" fillId="0" borderId="0" applyAlignment="1" applyProtection="1" pivotButton="0" quotePrefix="0" xfId="0">
      <alignment horizontal="left" vertical="center"/>
      <protection locked="0" hidden="0"/>
    </xf>
    <xf numFmtId="166" fontId="3" fillId="0" borderId="0" applyAlignment="1" applyProtection="1" pivotButton="0" quotePrefix="0" xfId="0">
      <alignment horizontal="center" vertical="top" textRotation="180"/>
      <protection locked="0" hidden="0"/>
    </xf>
    <xf numFmtId="167" fontId="7" fillId="0" borderId="0" applyAlignment="1" applyProtection="1" pivotButton="0" quotePrefix="0" xfId="0">
      <alignment horizontal="left" vertical="center"/>
      <protection locked="0" hidden="0"/>
    </xf>
    <xf numFmtId="168" fontId="8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Tabelle8"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1.5703125" customWidth="1" min="1" max="1"/>
    <col width="7.5703125" customWidth="1" min="2" max="2"/>
    <col width="1.140625" customWidth="1" min="3" max="3"/>
    <col width="11.5703125" customWidth="1" min="4" max="4"/>
    <col width="7.5703125" customWidth="1" min="5" max="5"/>
    <col width="1.28515625" customWidth="1" min="6" max="6"/>
    <col width="11.5703125" customWidth="1" min="7" max="7"/>
    <col width="7.5703125" customWidth="1" min="8" max="8"/>
    <col width="6.42578125" customWidth="1" min="9" max="9"/>
    <col width="1.140625" customWidth="1" min="10" max="10"/>
    <col width="4.42578125" customWidth="1" min="11" max="11"/>
    <col width="12.7109375" customWidth="1" min="12" max="12"/>
  </cols>
  <sheetData>
    <row r="1" ht="14.1" customHeight="1">
      <c r="A1" s="1" t="n"/>
      <c r="E1" s="2">
        <f>ID!M19</f>
        <v/>
      </c>
      <c r="F1" s="3" t="n"/>
      <c r="G1" s="3" t="n"/>
      <c r="H1" s="3" t="n"/>
      <c r="I1" s="4">
        <f>G4</f>
        <v/>
      </c>
      <c r="J1" s="5" t="n"/>
      <c r="K1" s="6">
        <f>ID!M19</f>
        <v/>
      </c>
    </row>
    <row r="2" ht="14.1" customHeight="1">
      <c r="E2" s="3" t="n"/>
      <c r="F2" s="3" t="n"/>
      <c r="G2" s="3" t="n"/>
      <c r="H2" s="3" t="n"/>
      <c r="I2" s="3" t="n"/>
      <c r="K2" s="3" t="n"/>
    </row>
    <row r="3" ht="5.85" customHeight="1">
      <c r="E3" s="1" t="n"/>
      <c r="I3" s="3" t="n"/>
      <c r="K3" s="3" t="n"/>
    </row>
    <row r="4" ht="15.6" customHeight="1">
      <c r="E4" s="7" t="inlineStr">
        <is>
          <t>AU/Pos</t>
        </is>
      </c>
      <c r="G4" s="8" t="n">
        <v>143430</v>
      </c>
      <c r="H4" s="8" t="n">
        <v>4</v>
      </c>
      <c r="I4" s="3" t="n"/>
      <c r="K4" s="3" t="n"/>
    </row>
    <row r="5" ht="15" customHeight="1">
      <c r="E5" s="7" t="inlineStr">
        <is>
          <t>Termin</t>
        </is>
      </c>
      <c r="G5" s="27" t="n">
        <v>46107</v>
      </c>
      <c r="H5" s="3" t="n"/>
      <c r="I5" s="3" t="n"/>
      <c r="K5" s="3" t="n"/>
    </row>
    <row r="6" ht="15" customHeight="1">
      <c r="A6" s="1" t="n"/>
      <c r="E6" s="7" t="n"/>
      <c r="G6" s="10" t="n"/>
      <c r="H6" s="3" t="n"/>
      <c r="I6" s="3" t="n"/>
      <c r="K6" s="3" t="n"/>
    </row>
    <row r="7" ht="11.85" customHeight="1">
      <c r="A7" s="7" t="inlineStr">
        <is>
          <t>Kunde</t>
        </is>
      </c>
      <c r="I7" s="3" t="n"/>
      <c r="K7" s="3" t="n"/>
    </row>
    <row r="8" ht="15.6" customHeight="1">
      <c r="A8" s="10" t="inlineStr">
        <is>
          <t>Glas Trösch SA, succursale Bulle</t>
        </is>
      </c>
      <c r="B8" s="3" t="n"/>
      <c r="C8" s="3" t="n"/>
      <c r="D8" s="3" t="n"/>
      <c r="E8" s="3" t="n"/>
      <c r="F8" s="3" t="n"/>
      <c r="G8" s="3" t="n"/>
      <c r="H8" s="3" t="n"/>
      <c r="I8" s="11" t="n"/>
      <c r="K8" s="3" t="n"/>
    </row>
    <row r="9" ht="5.85" customHeight="1">
      <c r="A9" s="7" t="n"/>
      <c r="I9" s="28">
        <f>H4</f>
        <v/>
      </c>
      <c r="K9" s="3" t="n"/>
    </row>
    <row r="10" ht="14.1" customHeight="1">
      <c r="A10" s="7" t="inlineStr">
        <is>
          <t>Kommission</t>
        </is>
      </c>
      <c r="I10" s="3" t="n"/>
      <c r="K10" s="3" t="n"/>
    </row>
    <row r="11" ht="15.6" customHeight="1">
      <c r="A11" s="10" t="inlineStr">
        <is>
          <t>635953 / ISO CDR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K11" s="3" t="n"/>
    </row>
    <row r="12" ht="5.85" customHeight="1">
      <c r="A12" s="7" t="n"/>
      <c r="I12" s="3" t="n"/>
      <c r="K12" s="3" t="n"/>
    </row>
    <row r="13" ht="14.1" customHeight="1">
      <c r="A13" s="7" t="inlineStr">
        <is>
          <t>Kunden-Pos.</t>
        </is>
      </c>
      <c r="I13" s="3" t="n"/>
      <c r="K13" s="3" t="n"/>
    </row>
    <row r="14" ht="15.6" customHeight="1">
      <c r="A14" s="10" t="n"/>
      <c r="B14" s="3" t="n"/>
      <c r="C14" s="3" t="n"/>
      <c r="D14" s="3" t="n"/>
      <c r="E14" s="3" t="n"/>
      <c r="F14" s="3" t="n"/>
      <c r="G14" s="3" t="n"/>
      <c r="H14" s="3" t="n"/>
      <c r="I14" s="3" t="n"/>
      <c r="K14" s="3" t="n"/>
    </row>
    <row r="15" ht="13.5" customHeight="1">
      <c r="A15" s="13" t="n"/>
      <c r="I15" s="3" t="n"/>
      <c r="K15" s="14" t="n">
        <v>260127143921</v>
      </c>
    </row>
    <row r="16" ht="14.1" customHeight="1">
      <c r="A16" s="7" t="inlineStr">
        <is>
          <t>Verbund- und Verbundsicherheitsglas mit Anforderung an den Feuerwiderstand</t>
        </is>
      </c>
      <c r="K16" s="3" t="n"/>
    </row>
    <row r="17" ht="15.6" customHeight="1">
      <c r="A17" s="15" t="inlineStr">
        <is>
          <t>FSF 30-15  *** ISO 1 ***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K17" s="3" t="n"/>
    </row>
    <row r="18" ht="5.85" customHeight="1">
      <c r="A18" s="7" t="n"/>
      <c r="K18" s="3" t="n"/>
    </row>
    <row r="19" ht="15.6" customHeight="1">
      <c r="A19" s="16" t="inlineStr">
        <is>
          <t>Menge [Stk]</t>
        </is>
      </c>
      <c r="B19" s="17" t="n">
        <v>2</v>
      </c>
      <c r="D19" s="16" t="inlineStr">
        <is>
          <t>Breite [mm]</t>
        </is>
      </c>
      <c r="E19" s="18" t="n">
        <v>1728</v>
      </c>
      <c r="G19" s="16" t="inlineStr">
        <is>
          <t>Höhe [mm]</t>
        </is>
      </c>
      <c r="H19" s="18" t="n">
        <v>630</v>
      </c>
      <c r="K19" s="3" t="n"/>
    </row>
    <row r="20" ht="15.6" customHeight="1">
      <c r="A20" s="16" t="inlineStr">
        <is>
          <t>Fläche [m²]</t>
        </is>
      </c>
      <c r="B20" s="19">
        <f>(E19/1000)*(H19/1000)</f>
        <v/>
      </c>
      <c r="D20" s="16" t="inlineStr">
        <is>
          <t>Umfang [lfm]</t>
        </is>
      </c>
      <c r="E20" s="19">
        <f>(E19/1000)*2+(H19/1000)*2</f>
        <v/>
      </c>
      <c r="G20" s="16" t="inlineStr">
        <is>
          <t>Gewicht [kg]</t>
        </is>
      </c>
      <c r="H20" s="29" t="n">
        <v>38.1</v>
      </c>
      <c r="K20" s="3" t="n"/>
    </row>
    <row r="21" ht="13.5" customHeight="1">
      <c r="A21" s="1" t="n"/>
      <c r="K21" s="3" t="n"/>
    </row>
    <row r="22" ht="11.85" customHeight="1">
      <c r="A22" s="7" t="inlineStr">
        <is>
          <t>Nach dem Einbau ist das Etikett sofort zu entfernen.</t>
        </is>
      </c>
      <c r="G22" s="21" t="n">
        <v>24</v>
      </c>
      <c r="H22" s="1" t="inlineStr">
        <is>
          <t>EN 14449</t>
        </is>
      </c>
      <c r="K22" s="3" t="n"/>
    </row>
    <row r="23" ht="11.85" customHeight="1">
      <c r="A23" s="22" t="inlineStr">
        <is>
          <t>CDR Glas AG | 3253 Schnottwil | 032 312 03 00 | www.cdr.ch</t>
        </is>
      </c>
      <c r="G23" s="30" t="n">
        <v>757</v>
      </c>
      <c r="K23" s="3" t="n"/>
    </row>
  </sheetData>
  <mergeCells count="30">
    <mergeCell ref="A9:H9"/>
    <mergeCell ref="A15:H15"/>
    <mergeCell ref="H22:I23"/>
    <mergeCell ref="E5:F5"/>
    <mergeCell ref="A11:H11"/>
    <mergeCell ref="E1:H2"/>
    <mergeCell ref="A21:I21"/>
    <mergeCell ref="E4:F4"/>
    <mergeCell ref="A7:H7"/>
    <mergeCell ref="E3:H3"/>
    <mergeCell ref="A23:F23"/>
    <mergeCell ref="A17:I17"/>
    <mergeCell ref="A22:F22"/>
    <mergeCell ref="G6:H6"/>
    <mergeCell ref="I1:I7"/>
    <mergeCell ref="J1:J23"/>
    <mergeCell ref="A12:H12"/>
    <mergeCell ref="A18:H18"/>
    <mergeCell ref="E6:F6"/>
    <mergeCell ref="I9:I15"/>
    <mergeCell ref="A6:D6"/>
    <mergeCell ref="G5:H5"/>
    <mergeCell ref="A14:H14"/>
    <mergeCell ref="K1:K14"/>
    <mergeCell ref="K15:K23"/>
    <mergeCell ref="A8:H8"/>
    <mergeCell ref="A1:D5"/>
    <mergeCell ref="A10:H10"/>
    <mergeCell ref="A13:H13"/>
    <mergeCell ref="A16:I16"/>
  </mergeCells>
  <pageMargins left="0.07874015748031496" right="0.07874015748031496" top="0.07874015748031496" bottom="0" header="0" footer="0"/>
  <pageSetup orientation="landscape" paperSize="9"/>
</worksheet>
</file>

<file path=xl/worksheets/sheet2.xml><?xml version="1.0" encoding="utf-8"?>
<worksheet xmlns="http://schemas.openxmlformats.org/spreadsheetml/2006/main">
  <sheetPr codeName="Tabelle10"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1.5703125" customWidth="1" min="1" max="1"/>
    <col width="7.5703125" customWidth="1" min="2" max="2"/>
    <col width="1.140625" customWidth="1" min="3" max="3"/>
    <col width="11.5703125" customWidth="1" min="4" max="4"/>
    <col width="7.5703125" customWidth="1" min="5" max="5"/>
    <col width="1.28515625" customWidth="1" min="6" max="6"/>
    <col width="11.5703125" customWidth="1" min="7" max="7"/>
    <col width="7.5703125" customWidth="1" min="8" max="8"/>
    <col width="6.42578125" customWidth="1" min="9" max="9"/>
    <col width="1.140625" customWidth="1" min="10" max="10"/>
    <col width="4.42578125" customWidth="1" min="11" max="11"/>
    <col width="12.7109375" customWidth="1" min="12" max="12"/>
  </cols>
  <sheetData>
    <row r="1" ht="14.1" customHeight="1">
      <c r="A1" s="1" t="n"/>
      <c r="E1" s="2">
        <f>ID!M19</f>
        <v/>
      </c>
      <c r="F1" s="3" t="n"/>
      <c r="G1" s="3" t="n"/>
      <c r="H1" s="3" t="n"/>
      <c r="I1" s="4">
        <f>G4</f>
        <v/>
      </c>
      <c r="J1" s="5" t="n"/>
      <c r="K1" s="6">
        <f>ID!M19</f>
        <v/>
      </c>
    </row>
    <row r="2" ht="14.1" customHeight="1">
      <c r="E2" s="3" t="n"/>
      <c r="F2" s="3" t="n"/>
      <c r="G2" s="3" t="n"/>
      <c r="H2" s="3" t="n"/>
      <c r="I2" s="3" t="n"/>
      <c r="K2" s="3" t="n"/>
    </row>
    <row r="3" ht="5.85" customHeight="1">
      <c r="E3" s="1" t="n"/>
      <c r="I3" s="3" t="n"/>
      <c r="K3" s="3" t="n"/>
    </row>
    <row r="4" ht="15.6" customHeight="1">
      <c r="E4" s="7" t="inlineStr">
        <is>
          <t>AU/Pos</t>
        </is>
      </c>
      <c r="G4" s="8">
        <f>'Glas-Etikette'!G4</f>
        <v/>
      </c>
      <c r="H4" s="8">
        <f>'Glas-Etikette'!H4</f>
        <v/>
      </c>
      <c r="I4" s="3" t="n"/>
      <c r="K4" s="3" t="n"/>
    </row>
    <row r="5" ht="15" customHeight="1">
      <c r="E5" s="7" t="inlineStr">
        <is>
          <t>Délai</t>
        </is>
      </c>
      <c r="G5" s="27">
        <f>'Glas-Etikette'!G5</f>
        <v/>
      </c>
      <c r="H5" s="3" t="n"/>
      <c r="I5" s="3" t="n"/>
      <c r="K5" s="3" t="n"/>
    </row>
    <row r="6" ht="15" customHeight="1">
      <c r="A6" s="1" t="n"/>
      <c r="E6" s="7" t="n"/>
      <c r="G6" s="24" t="n"/>
      <c r="H6" s="3" t="n"/>
      <c r="I6" s="3" t="n"/>
      <c r="K6" s="3" t="n"/>
    </row>
    <row r="7" ht="11.85" customHeight="1">
      <c r="A7" s="7" t="inlineStr">
        <is>
          <t>Client</t>
        </is>
      </c>
      <c r="I7" s="3" t="n"/>
      <c r="K7" s="3" t="n"/>
    </row>
    <row r="8" ht="15.6" customHeight="1">
      <c r="A8" s="10">
        <f>'Glas-Etikette'!A8</f>
        <v/>
      </c>
      <c r="B8" s="3" t="n"/>
      <c r="C8" s="3" t="n"/>
      <c r="D8" s="3" t="n"/>
      <c r="E8" s="3" t="n"/>
      <c r="F8" s="3" t="n"/>
      <c r="G8" s="3" t="n"/>
      <c r="H8" s="3" t="n"/>
      <c r="I8" s="11" t="n"/>
      <c r="K8" s="3" t="n"/>
    </row>
    <row r="9" ht="5.85" customHeight="1">
      <c r="A9" s="7" t="n"/>
      <c r="I9" s="28">
        <f>H4</f>
        <v/>
      </c>
      <c r="K9" s="3" t="n"/>
    </row>
    <row r="10" ht="14.1" customHeight="1">
      <c r="A10" s="7" t="inlineStr">
        <is>
          <t>Commission</t>
        </is>
      </c>
      <c r="I10" s="3" t="n"/>
      <c r="K10" s="3" t="n"/>
    </row>
    <row r="11" ht="15" customHeight="1">
      <c r="A11" s="10">
        <f>'Glas-Etikette'!A11</f>
        <v/>
      </c>
      <c r="B11" s="3" t="n"/>
      <c r="C11" s="3" t="n"/>
      <c r="D11" s="3" t="n"/>
      <c r="E11" s="3" t="n"/>
      <c r="F11" s="3" t="n"/>
      <c r="G11" s="3" t="n"/>
      <c r="H11" s="3" t="n"/>
      <c r="I11" s="3" t="n"/>
      <c r="K11" s="3" t="n"/>
    </row>
    <row r="12" ht="5.85" customHeight="1">
      <c r="A12" s="7" t="n"/>
      <c r="I12" s="3" t="n"/>
      <c r="K12" s="3" t="n"/>
    </row>
    <row r="13" ht="14.1" customHeight="1">
      <c r="A13" s="7" t="inlineStr">
        <is>
          <t>Pos. de client</t>
        </is>
      </c>
      <c r="I13" s="3" t="n"/>
      <c r="K13" s="3" t="n"/>
    </row>
    <row r="14" ht="15" customHeight="1">
      <c r="A14" s="10">
        <f>IF('Glas-Etikette'!A14="","",'Glas-Etikette'!A14)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K14" s="3" t="n"/>
    </row>
    <row r="15" ht="13.5" customHeight="1">
      <c r="A15" s="13" t="n"/>
      <c r="I15" s="3" t="n"/>
      <c r="K15" s="14">
        <f>'Glas-Etikette'!K15</f>
        <v/>
      </c>
    </row>
    <row r="16" ht="14.1" customHeight="1">
      <c r="A16" s="7" t="inlineStr">
        <is>
          <t>Verre feuilleté et verre de sécurité feuilleté avec exigence de résistance au feu</t>
        </is>
      </c>
      <c r="K16" s="3" t="n"/>
    </row>
    <row r="17" ht="15.6" customHeight="1">
      <c r="A17" s="10">
        <f>'Glas-Etikette'!A17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K17" s="3" t="n"/>
    </row>
    <row r="18" ht="5.85" customHeight="1">
      <c r="A18" s="7" t="n"/>
      <c r="K18" s="3" t="n"/>
    </row>
    <row r="19" ht="15.6" customHeight="1">
      <c r="A19" s="16" t="inlineStr">
        <is>
          <t>Quantité [Pcs]</t>
        </is>
      </c>
      <c r="B19" s="17">
        <f>'Glas-Etikette'!B19</f>
        <v/>
      </c>
      <c r="D19" s="16" t="inlineStr">
        <is>
          <t>Largeur [mm]</t>
        </is>
      </c>
      <c r="E19" s="18">
        <f>'Glas-Etikette'!E19</f>
        <v/>
      </c>
      <c r="G19" s="16" t="inlineStr">
        <is>
          <t>Hauteur [mm]</t>
        </is>
      </c>
      <c r="H19" s="18">
        <f>'Glas-Etikette'!H19</f>
        <v/>
      </c>
      <c r="K19" s="3" t="n"/>
    </row>
    <row r="20" ht="15.6" customHeight="1">
      <c r="A20" s="16" t="inlineStr">
        <is>
          <t>Surface [m²]</t>
        </is>
      </c>
      <c r="B20" s="19">
        <f>'Glas-Etikette'!B20</f>
        <v/>
      </c>
      <c r="D20" s="16" t="inlineStr">
        <is>
          <t>Circonfér. [ml]</t>
        </is>
      </c>
      <c r="E20" s="19">
        <f>'Glas-Etikette'!E20</f>
        <v/>
      </c>
      <c r="G20" s="16" t="inlineStr">
        <is>
          <t>Poids [kg]</t>
        </is>
      </c>
      <c r="H20" s="29">
        <f>'Glas-Etikette'!H20</f>
        <v/>
      </c>
      <c r="K20" s="3" t="n"/>
    </row>
    <row r="21" ht="13.5" customHeight="1">
      <c r="A21" s="1" t="n"/>
      <c r="K21" s="3" t="n"/>
    </row>
    <row r="22" ht="11.85" customHeight="1">
      <c r="A22" s="7" t="inlineStr">
        <is>
          <t>Enlever l'etiquette immédiatement après la pose.</t>
        </is>
      </c>
      <c r="G22" s="21" t="n">
        <v>24</v>
      </c>
      <c r="H22" s="1" t="inlineStr">
        <is>
          <t>EN 14449</t>
        </is>
      </c>
      <c r="K22" s="3" t="n"/>
    </row>
    <row r="23" ht="11.85" customHeight="1">
      <c r="A23" s="22" t="inlineStr">
        <is>
          <t>CDR Glas AG | 3253 Schnottwil | 032 312 03 00 | www.cdr.ch</t>
        </is>
      </c>
      <c r="G23" s="30" t="n">
        <v>757</v>
      </c>
      <c r="K23" s="3" t="n"/>
    </row>
    <row r="27" ht="14.1" customHeight="1"/>
  </sheetData>
  <mergeCells count="30">
    <mergeCell ref="A9:H9"/>
    <mergeCell ref="A15:H15"/>
    <mergeCell ref="H22:I23"/>
    <mergeCell ref="E5:F5"/>
    <mergeCell ref="A11:H11"/>
    <mergeCell ref="E1:H2"/>
    <mergeCell ref="A21:I21"/>
    <mergeCell ref="E4:F4"/>
    <mergeCell ref="A7:H7"/>
    <mergeCell ref="E3:H3"/>
    <mergeCell ref="A23:F23"/>
    <mergeCell ref="A17:I17"/>
    <mergeCell ref="A22:F22"/>
    <mergeCell ref="G6:H6"/>
    <mergeCell ref="I1:I7"/>
    <mergeCell ref="J1:J23"/>
    <mergeCell ref="A12:H12"/>
    <mergeCell ref="A18:H18"/>
    <mergeCell ref="E6:F6"/>
    <mergeCell ref="I9:I15"/>
    <mergeCell ref="A6:D6"/>
    <mergeCell ref="G5:H5"/>
    <mergeCell ref="A14:H14"/>
    <mergeCell ref="K1:K14"/>
    <mergeCell ref="K15:K23"/>
    <mergeCell ref="A8:H8"/>
    <mergeCell ref="A1:D5"/>
    <mergeCell ref="A10:H10"/>
    <mergeCell ref="A13:H13"/>
    <mergeCell ref="A16:I16"/>
  </mergeCells>
  <pageMargins left="0.07874015748031496" right="0.07874015748031496" top="0.07874015748031496" bottom="0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2026-03-18T15:41:18Z</dcterms:created>
  <dcterms:modified xsi:type="dcterms:W3CDTF">2026-03-18T16:20:51Z</dcterms:modified>
</cp:coreProperties>
</file>