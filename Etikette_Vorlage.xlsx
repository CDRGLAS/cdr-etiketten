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95" yWindow="-16200" windowWidth="29010" windowHeight="15585" tabRatio="600" firstSheet="0" activeTab="0" autoFilterDateGrouping="1"/>
  </bookViews>
  <sheets>
    <sheet name="Glas-Etikette" sheetId="1" state="visible" r:id="rId1"/>
    <sheet name="Glas-Etikette FR" sheetId="2" state="visible" r:id="rId2"/>
  </sheets>
  <externalReferences>
    <externalReference r:id="rId3"/>
  </externalReferences>
  <definedNames>
    <definedName name="_xlnm.Print_Area" localSheetId="0">'Glas-Etikette'!$A$1:$K$23</definedName>
    <definedName name="_xlnm.Print_Area" localSheetId="1">'Glas-Etikette FR'!$A$1:$K$23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AU &quot;0"/>
    <numFmt numFmtId="165" formatCode="dd/mm/yy;@"/>
    <numFmt numFmtId="166" formatCode="&quot;P &quot;000"/>
    <numFmt numFmtId="167" formatCode="0.0"/>
    <numFmt numFmtId="168" formatCode="0000"/>
  </numFmts>
  <fonts count="9">
    <font>
      <name val="Calibri"/>
      <family val="2"/>
      <color theme="1"/>
      <sz val="11"/>
      <scheme val="minor"/>
    </font>
    <font>
      <name val="DIN Next LT Pro"/>
      <family val="2"/>
      <color theme="1"/>
      <sz val="10"/>
    </font>
    <font>
      <name val="Code-39-hoch©by Logitogo 2008"/>
      <charset val="2"/>
      <color theme="1"/>
      <sz val="26"/>
    </font>
    <font>
      <name val="DIN Next LT Pro"/>
      <family val="2"/>
      <color theme="1"/>
      <sz val="16"/>
    </font>
    <font>
      <name val="DIN Next LT Pro"/>
      <family val="2"/>
      <color theme="1"/>
      <sz val="18"/>
    </font>
    <font>
      <name val="DIN Next LT Pro Bold"/>
      <family val="2"/>
      <color theme="1"/>
      <sz val="12"/>
    </font>
    <font>
      <name val="DIN Next LT Pro"/>
      <family val="2"/>
      <color theme="1"/>
      <sz val="12"/>
    </font>
    <font>
      <name val="DIN Next LT Pro Bold"/>
      <family val="2"/>
      <color theme="1"/>
      <sz val="10"/>
    </font>
    <font>
      <name val="DIN Next LT Pro"/>
      <family val="2"/>
      <color theme="1"/>
      <sz val="8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2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center" textRotation="180"/>
    </xf>
    <xf numFmtId="0" fontId="4" fillId="0" borderId="0" applyAlignment="1" pivotButton="0" quotePrefix="0" xfId="0">
      <alignment horizontal="center" vertical="center" textRotation="180"/>
    </xf>
    <xf numFmtId="0" fontId="2" fillId="0" borderId="0" applyAlignment="1" pivotButton="0" quotePrefix="0" xfId="0">
      <alignment horizontal="center" vertical="top" textRotation="180"/>
    </xf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1" fontId="5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vertical="center" textRotation="180"/>
    </xf>
    <xf numFmtId="166" fontId="3" fillId="0" borderId="0" applyAlignment="1" pivotButton="0" quotePrefix="0" xfId="0">
      <alignment horizontal="center" vertical="top" textRotation="180"/>
    </xf>
    <xf numFmtId="0" fontId="6" fillId="0" borderId="0" applyAlignment="1" pivotButton="0" quotePrefix="0" xfId="0">
      <alignment horizontal="left" vertical="center"/>
    </xf>
    <xf numFmtId="1" fontId="3" fillId="0" borderId="0" applyAlignment="1" pivotButton="0" quotePrefix="0" xfId="0">
      <alignment horizontal="center" textRotation="180"/>
    </xf>
    <xf numFmtId="0" fontId="5" fillId="0" borderId="0" applyAlignment="1" pivotButton="0" quotePrefix="0" xfId="0">
      <alignment horizontal="left" vertical="center" wrapText="1"/>
    </xf>
    <xf numFmtId="0" fontId="1" fillId="0" borderId="0" applyAlignment="1" pivotButton="0" quotePrefix="0" xfId="0">
      <alignment vertical="center"/>
    </xf>
    <xf numFmtId="1" fontId="7" fillId="0" borderId="0" applyAlignment="1" pivotButton="0" quotePrefix="0" xfId="0">
      <alignment horizontal="left" vertical="center"/>
    </xf>
    <xf numFmtId="3" fontId="7" fillId="0" borderId="0" applyAlignment="1" pivotButton="0" quotePrefix="0" xfId="0">
      <alignment horizontal="left" vertical="center"/>
    </xf>
    <xf numFmtId="2" fontId="7" fillId="0" borderId="0" applyAlignment="1" pivotButton="0" quotePrefix="0" xfId="0">
      <alignment horizontal="left" vertical="center"/>
    </xf>
    <xf numFmtId="167" fontId="7" fillId="0" borderId="0" applyAlignment="1" pivotButton="0" quotePrefix="0" xfId="0">
      <alignment horizontal="left" vertical="center"/>
    </xf>
    <xf numFmtId="0" fontId="8" fillId="0" borderId="0" pivotButton="0" quotePrefix="0" xfId="0"/>
    <xf numFmtId="0" fontId="8" fillId="0" borderId="0" applyAlignment="1" pivotButton="0" quotePrefix="0" xfId="0">
      <alignment horizontal="left" vertical="center"/>
    </xf>
    <xf numFmtId="168" fontId="8" fillId="0" borderId="0" applyAlignment="1" pivotButton="0" quotePrefix="0" xfId="0">
      <alignment vertical="top"/>
    </xf>
    <xf numFmtId="0" fontId="7" fillId="0" borderId="0" applyAlignment="1" pivotButton="0" quotePrefix="0" xfId="0">
      <alignment horizontal="left" vertical="center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externalLink" Target="/xl/externalLinks/externalLink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jpe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0</row>
      <rowOff>0</rowOff>
    </from>
    <to>
      <col>1</col>
      <colOff>356230</colOff>
      <row>4</row>
      <rowOff>173925</rowOff>
    </to>
    <pic>
      <nvPicPr>
        <cNvPr id="2" name="Grafik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0" y="0"/>
          <a:ext cx="1127755" cy="77400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6</col>
      <colOff>114300</colOff>
      <row>21</row>
      <rowOff>0</rowOff>
    </from>
    <to>
      <col>6</col>
      <colOff>474300</colOff>
      <row>22</row>
      <rowOff>133350</rowOff>
    </to>
    <pic>
      <nvPicPr>
        <cNvPr id="5" name="Bild 1" descr="Ce Icon"/>
        <cNvPicPr>
          <a:picLocks noChangeAspect="1"/>
        </cNvPicPr>
      </nvPicPr>
      <blipFill rotWithShape="1">
        <a:blip cstate="print" r:embed="rId2"/>
        <a:srcRect t="12943" b="12416"/>
        <a:stretch>
          <a:fillRect/>
        </a:stretch>
      </blipFill>
      <spPr bwMode="auto">
        <a:xfrm>
          <a:off x="2828925" y="3324225"/>
          <a:ext cx="360000" cy="2762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0</col>
      <colOff>0</colOff>
      <row>0</row>
      <rowOff>0</rowOff>
    </from>
    <to>
      <col>1</col>
      <colOff>356230</colOff>
      <row>4</row>
      <rowOff>173925</rowOff>
    </to>
    <pic>
      <nvPicPr>
        <cNvPr id="2" name="Grafik 1"/>
        <cNvPicPr>
          <a:picLocks noChangeAspect="1"/>
        </cNvPicPr>
      </nvPicPr>
      <blipFill>
        <a:blip cstate="print" r:embed="rId1"/>
        <a:stretch>
          <a:fillRect/>
        </a:stretch>
      </blipFill>
      <spPr>
        <a:xfrm>
          <a:off x="0" y="0"/>
          <a:ext cx="1127755" cy="77400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6</col>
      <colOff>114300</colOff>
      <row>21</row>
      <rowOff>0</rowOff>
    </from>
    <to>
      <col>6</col>
      <colOff>474300</colOff>
      <row>22</row>
      <rowOff>133350</rowOff>
    </to>
    <pic>
      <nvPicPr>
        <cNvPr id="3" name="Bild 1" descr="Ce Icon"/>
        <cNvPicPr>
          <a:picLocks noChangeAspect="1"/>
        </cNvPicPr>
      </nvPicPr>
      <blipFill rotWithShape="1">
        <a:blip cstate="print" r:embed="rId2"/>
        <a:srcRect t="12943" b="12416"/>
        <a:stretch>
          <a:fillRect/>
        </a:stretch>
      </blipFill>
      <spPr bwMode="auto">
        <a:xfrm>
          <a:off x="2828925" y="3324225"/>
          <a:ext cx="360000" cy="276225"/>
        </a:xfrm>
        <a:prstGeom prst="rect">
          <avLst/>
        </a:prstGeom>
        <a:noFill/>
        <a:ln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ID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ID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 codeName="Tabelle8">
    <outlinePr summaryBelow="1" summaryRight="1"/>
    <pageSetUpPr/>
  </sheetPr>
  <dimension ref="A1:K23"/>
  <sheetViews>
    <sheetView tabSelected="1" workbookViewId="0">
      <selection activeCell="K27" sqref="K27"/>
    </sheetView>
  </sheetViews>
  <sheetFormatPr baseColWidth="10" defaultColWidth="9.140625" defaultRowHeight="15"/>
  <cols>
    <col width="11.5703125" customWidth="1" style="7" min="1" max="1"/>
    <col width="7.5703125" customWidth="1" style="7" min="2" max="2"/>
    <col width="1.140625" customWidth="1" style="7" min="3" max="3"/>
    <col width="11.5703125" customWidth="1" style="7" min="4" max="4"/>
    <col width="7.5703125" customWidth="1" style="7" min="5" max="5"/>
    <col width="1.28515625" customWidth="1" style="7" min="6" max="6"/>
    <col width="11.5703125" customWidth="1" style="7" min="7" max="7"/>
    <col width="7.5703125" customWidth="1" style="7" min="8" max="8"/>
    <col width="6.42578125" customWidth="1" style="7" min="9" max="9"/>
    <col width="1.140625" customWidth="1" style="7" min="10" max="10"/>
    <col width="4.42578125" customWidth="1" style="7" min="11" max="11"/>
    <col width="12.7109375" customWidth="1" style="7" min="12" max="12"/>
    <col width="9.140625" customWidth="1" style="7" min="13" max="16384"/>
  </cols>
  <sheetData>
    <row r="1" ht="14.1" customHeight="1" s="7">
      <c r="A1" s="1" t="n"/>
      <c r="E1" s="3" t="inlineStr">
        <is>
          <t>*000000000000*</t>
        </is>
      </c>
      <c r="I1" s="4">
        <f>G4</f>
        <v/>
      </c>
      <c r="J1" s="5" t="n"/>
      <c r="K1" s="6" t="inlineStr">
        <is>
          <t>*000000000000*</t>
        </is>
      </c>
    </row>
    <row r="2" ht="14.1" customHeight="1" s="7"/>
    <row r="3" ht="5.85" customHeight="1" s="7">
      <c r="E3" s="1" t="n"/>
    </row>
    <row r="4" ht="15.6" customHeight="1" s="7">
      <c r="E4" s="8" t="inlineStr">
        <is>
          <t>AU/Pos</t>
        </is>
      </c>
      <c r="G4" s="9" t="n">
        <v>143430</v>
      </c>
      <c r="H4" s="9" t="n">
        <v>4</v>
      </c>
    </row>
    <row r="5" ht="15" customHeight="1" s="7">
      <c r="E5" s="8" t="inlineStr">
        <is>
          <t>Termin</t>
        </is>
      </c>
      <c r="G5" s="10" t="n">
        <v>46107</v>
      </c>
    </row>
    <row r="6" ht="15" customHeight="1" s="7">
      <c r="A6" s="1" t="n"/>
      <c r="E6" s="8" t="n"/>
      <c r="G6" s="11" t="n"/>
    </row>
    <row r="7" ht="11.85" customHeight="1" s="7">
      <c r="A7" s="8" t="inlineStr">
        <is>
          <t>Kunde</t>
        </is>
      </c>
    </row>
    <row r="8" ht="15.6" customHeight="1" s="7">
      <c r="A8" s="11" t="inlineStr">
        <is>
          <t>Glas Trösch SA, succursale Bulle</t>
        </is>
      </c>
      <c r="I8" s="12" t="n"/>
    </row>
    <row r="9" ht="5.85" customHeight="1" s="7">
      <c r="A9" s="8" t="n"/>
      <c r="I9" s="13">
        <f>H4</f>
        <v/>
      </c>
    </row>
    <row r="10" ht="14.1" customHeight="1" s="7">
      <c r="A10" s="8" t="inlineStr">
        <is>
          <t>Kommission</t>
        </is>
      </c>
    </row>
    <row r="11" ht="15.6" customHeight="1" s="7">
      <c r="A11" s="11" t="inlineStr">
        <is>
          <t>635953 / ISO CDR</t>
        </is>
      </c>
    </row>
    <row r="12" ht="5.85" customHeight="1" s="7">
      <c r="A12" s="8" t="n"/>
    </row>
    <row r="13" ht="14.1" customHeight="1" s="7">
      <c r="A13" s="8" t="inlineStr">
        <is>
          <t>Kunden-Pos.</t>
        </is>
      </c>
    </row>
    <row r="14" ht="15.6" customHeight="1" s="7">
      <c r="A14" s="11" t="n"/>
    </row>
    <row r="15" ht="13.5" customHeight="1" s="7">
      <c r="A15" s="14" t="n"/>
      <c r="K15" s="15" t="n"/>
    </row>
    <row r="16" ht="14.1" customHeight="1" s="7">
      <c r="A16" s="8" t="inlineStr">
        <is>
          <t>Verbund- und Verbundsicherheitsglas mit Anforderung an den Feuerwiderstand</t>
        </is>
      </c>
    </row>
    <row r="17" ht="15.6" customHeight="1" s="7">
      <c r="A17" s="16" t="inlineStr">
        <is>
          <t>FSF 30-15  *** ISO 1 ***</t>
        </is>
      </c>
    </row>
    <row r="18" ht="5.85" customHeight="1" s="7">
      <c r="A18" s="8" t="n"/>
    </row>
    <row r="19" ht="15.6" customHeight="1" s="7">
      <c r="A19" s="17" t="inlineStr">
        <is>
          <t>Menge [Stk]</t>
        </is>
      </c>
      <c r="B19" s="18" t="n">
        <v>2</v>
      </c>
      <c r="D19" s="17" t="inlineStr">
        <is>
          <t>Breite [mm]</t>
        </is>
      </c>
      <c r="E19" s="19" t="n">
        <v>1728</v>
      </c>
      <c r="G19" s="17" t="inlineStr">
        <is>
          <t>Höhe [mm]</t>
        </is>
      </c>
      <c r="H19" s="19" t="n">
        <v>630</v>
      </c>
    </row>
    <row r="20" ht="15.6" customHeight="1" s="7">
      <c r="A20" s="17" t="inlineStr">
        <is>
          <t>Fläche [m²]</t>
        </is>
      </c>
      <c r="B20" s="20">
        <f>(E19/1000)*(H19/1000)</f>
        <v/>
      </c>
      <c r="D20" s="17" t="inlineStr">
        <is>
          <t>Umfang [lfm]</t>
        </is>
      </c>
      <c r="E20" s="20">
        <f>(E19/1000)*2+(H19/1000)*2</f>
        <v/>
      </c>
      <c r="G20" s="17" t="inlineStr">
        <is>
          <t>Gewicht [kg]</t>
        </is>
      </c>
      <c r="H20" s="21" t="n">
        <v>38.1</v>
      </c>
    </row>
    <row r="21" ht="13.5" customHeight="1" s="7">
      <c r="A21" s="1" t="n"/>
    </row>
    <row r="22" ht="11.85" customHeight="1" s="7">
      <c r="A22" s="8" t="inlineStr">
        <is>
          <t>Nach dem Einbau ist das Etikett sofort zu entfernen.</t>
        </is>
      </c>
      <c r="G22" s="22" t="n">
        <v>24</v>
      </c>
      <c r="H22" s="1" t="inlineStr">
        <is>
          <t>EN 14449</t>
        </is>
      </c>
    </row>
    <row r="23" ht="11.85" customHeight="1" s="7">
      <c r="A23" s="23" t="inlineStr">
        <is>
          <t>CDR Glas AG | 3253 Schnottwil | 032 312 03 00 | www.cdr.ch</t>
        </is>
      </c>
      <c r="G23" s="24" t="n">
        <v>757</v>
      </c>
    </row>
  </sheetData>
  <mergeCells count="30">
    <mergeCell ref="A9:H9"/>
    <mergeCell ref="A15:H15"/>
    <mergeCell ref="H22:I23"/>
    <mergeCell ref="E5:F5"/>
    <mergeCell ref="A11:H11"/>
    <mergeCell ref="E1:H2"/>
    <mergeCell ref="A21:I21"/>
    <mergeCell ref="E4:F4"/>
    <mergeCell ref="A7:H7"/>
    <mergeCell ref="E3:H3"/>
    <mergeCell ref="A23:F23"/>
    <mergeCell ref="A17:I17"/>
    <mergeCell ref="A22:F22"/>
    <mergeCell ref="G6:H6"/>
    <mergeCell ref="I1:I7"/>
    <mergeCell ref="J1:J23"/>
    <mergeCell ref="A12:H12"/>
    <mergeCell ref="A18:H18"/>
    <mergeCell ref="E6:F6"/>
    <mergeCell ref="I9:I15"/>
    <mergeCell ref="A6:D6"/>
    <mergeCell ref="G5:H5"/>
    <mergeCell ref="A14:H14"/>
    <mergeCell ref="K1:K14"/>
    <mergeCell ref="A8:H8"/>
    <mergeCell ref="K15:K23"/>
    <mergeCell ref="A1:D5"/>
    <mergeCell ref="A10:H10"/>
    <mergeCell ref="A13:H13"/>
    <mergeCell ref="A16:I16"/>
  </mergeCells>
  <pageMargins left="0.07874015748031496" right="0.07874015748031496" top="0.07874015748031496" bottom="0" header="0" footer="0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Tabelle10">
    <outlinePr summaryBelow="1" summaryRight="1"/>
    <pageSetUpPr/>
  </sheetPr>
  <dimension ref="A1:K23"/>
  <sheetViews>
    <sheetView workbookViewId="0">
      <selection activeCell="L20" sqref="L20"/>
    </sheetView>
  </sheetViews>
  <sheetFormatPr baseColWidth="10" defaultColWidth="9.140625" defaultRowHeight="15"/>
  <cols>
    <col width="11.5703125" customWidth="1" style="7" min="1" max="1"/>
    <col width="7.5703125" customWidth="1" style="7" min="2" max="2"/>
    <col width="1.140625" customWidth="1" style="7" min="3" max="3"/>
    <col width="11.5703125" customWidth="1" style="7" min="4" max="4"/>
    <col width="7.5703125" customWidth="1" style="7" min="5" max="5"/>
    <col width="1.28515625" customWidth="1" style="7" min="6" max="6"/>
    <col width="11.5703125" customWidth="1" style="7" min="7" max="7"/>
    <col width="7.5703125" customWidth="1" style="7" min="8" max="8"/>
    <col width="6.42578125" customWidth="1" style="7" min="9" max="9"/>
    <col width="1.140625" customWidth="1" style="7" min="10" max="10"/>
    <col width="4.42578125" customWidth="1" style="7" min="11" max="11"/>
    <col width="12.7109375" customWidth="1" style="7" min="12" max="12"/>
    <col width="9.140625" customWidth="1" style="7" min="13" max="16384"/>
  </cols>
  <sheetData>
    <row r="1" ht="14.1" customHeight="1" s="7">
      <c r="A1" s="1" t="n"/>
      <c r="E1" s="3" t="inlineStr">
        <is>
          <t>*000000000000*</t>
        </is>
      </c>
      <c r="I1" s="4">
        <f>G4</f>
        <v/>
      </c>
      <c r="J1" s="5" t="n"/>
      <c r="K1" s="6" t="inlineStr">
        <is>
          <t>*000000000000*</t>
        </is>
      </c>
    </row>
    <row r="2" ht="14.1" customHeight="1" s="7"/>
    <row r="3" ht="5.85" customHeight="1" s="7">
      <c r="E3" s="1" t="n"/>
    </row>
    <row r="4" ht="15.6" customHeight="1" s="7">
      <c r="E4" s="8" t="inlineStr">
        <is>
          <t>AU/Pos</t>
        </is>
      </c>
      <c r="G4" s="9">
        <f>'Glas-Etikette'!G4</f>
        <v/>
      </c>
      <c r="H4" s="9">
        <f>'Glas-Etikette'!H4</f>
        <v/>
      </c>
    </row>
    <row r="5" ht="15" customHeight="1" s="7">
      <c r="E5" s="8" t="inlineStr">
        <is>
          <t>Délai</t>
        </is>
      </c>
      <c r="G5" s="10">
        <f>'Glas-Etikette'!G5</f>
        <v/>
      </c>
    </row>
    <row r="6" ht="15" customHeight="1" s="7">
      <c r="A6" s="1" t="n"/>
      <c r="E6" s="8" t="n"/>
      <c r="G6" s="25" t="n"/>
    </row>
    <row r="7" ht="11.85" customHeight="1" s="7">
      <c r="A7" s="8" t="inlineStr">
        <is>
          <t>Client</t>
        </is>
      </c>
    </row>
    <row r="8" ht="15.6" customHeight="1" s="7">
      <c r="A8" s="11">
        <f>'Glas-Etikette'!A8</f>
        <v/>
      </c>
      <c r="I8" s="12" t="n"/>
    </row>
    <row r="9" ht="5.85" customHeight="1" s="7">
      <c r="A9" s="8" t="n"/>
      <c r="I9" s="13">
        <f>H4</f>
        <v/>
      </c>
    </row>
    <row r="10" ht="14.1" customHeight="1" s="7">
      <c r="A10" s="8" t="inlineStr">
        <is>
          <t>Commission</t>
        </is>
      </c>
    </row>
    <row r="11" ht="15" customHeight="1" s="7">
      <c r="A11" s="11">
        <f>'Glas-Etikette'!A11</f>
        <v/>
      </c>
    </row>
    <row r="12" ht="5.85" customHeight="1" s="7">
      <c r="A12" s="8" t="n"/>
    </row>
    <row r="13" ht="14.1" customHeight="1" s="7">
      <c r="A13" s="8" t="inlineStr">
        <is>
          <t>Pos. de client</t>
        </is>
      </c>
    </row>
    <row r="14" ht="15" customHeight="1" s="7">
      <c r="A14" s="11">
        <f>IF('Glas-Etikette'!A14="","",'Glas-Etikette'!A14)</f>
        <v/>
      </c>
    </row>
    <row r="15" ht="13.5" customHeight="1" s="7">
      <c r="A15" s="14" t="n"/>
      <c r="K15" s="15">
        <f>'Glas-Etikette'!K15</f>
        <v/>
      </c>
    </row>
    <row r="16" ht="14.1" customHeight="1" s="7">
      <c r="A16" s="8" t="inlineStr">
        <is>
          <t>Verre feuilleté et verre de sécurité feuilleté avec exigence de résistance au feu</t>
        </is>
      </c>
    </row>
    <row r="17" ht="15.6" customHeight="1" s="7">
      <c r="A17" s="11">
        <f>'Glas-Etikette'!A17</f>
        <v/>
      </c>
    </row>
    <row r="18" ht="5.85" customHeight="1" s="7">
      <c r="A18" s="8" t="n"/>
    </row>
    <row r="19" ht="15.6" customHeight="1" s="7">
      <c r="A19" s="17" t="inlineStr">
        <is>
          <t>Quantité [Pcs]</t>
        </is>
      </c>
      <c r="B19" s="18">
        <f>'Glas-Etikette'!B19</f>
        <v/>
      </c>
      <c r="D19" s="17" t="inlineStr">
        <is>
          <t>Largeur [mm]</t>
        </is>
      </c>
      <c r="E19" s="19">
        <f>'Glas-Etikette'!E19</f>
        <v/>
      </c>
      <c r="G19" s="17" t="inlineStr">
        <is>
          <t>Hauteur [mm]</t>
        </is>
      </c>
      <c r="H19" s="19">
        <f>'Glas-Etikette'!H19</f>
        <v/>
      </c>
    </row>
    <row r="20" ht="15.6" customHeight="1" s="7">
      <c r="A20" s="17" t="inlineStr">
        <is>
          <t>Surface [m²]</t>
        </is>
      </c>
      <c r="B20" s="20">
        <f>'Glas-Etikette'!B20</f>
        <v/>
      </c>
      <c r="D20" s="17" t="inlineStr">
        <is>
          <t>Circonfér. [ml]</t>
        </is>
      </c>
      <c r="E20" s="20">
        <f>'Glas-Etikette'!E20</f>
        <v/>
      </c>
      <c r="G20" s="17" t="inlineStr">
        <is>
          <t>Poids [kg]</t>
        </is>
      </c>
      <c r="H20" s="21">
        <f>'Glas-Etikette'!H20</f>
        <v/>
      </c>
    </row>
    <row r="21" ht="13.5" customHeight="1" s="7">
      <c r="A21" s="1" t="n"/>
    </row>
    <row r="22" ht="11.85" customHeight="1" s="7">
      <c r="A22" s="8" t="inlineStr">
        <is>
          <t>Enlever l'etiquette immédiatement après la pose.</t>
        </is>
      </c>
      <c r="G22" s="22" t="n">
        <v>24</v>
      </c>
      <c r="H22" s="1" t="inlineStr">
        <is>
          <t>EN 14449</t>
        </is>
      </c>
    </row>
    <row r="23" ht="11.85" customHeight="1" s="7">
      <c r="A23" s="23" t="inlineStr">
        <is>
          <t>CDR Glas AG | 3253 Schnottwil | 032 312 03 00 | www.cdr.ch</t>
        </is>
      </c>
      <c r="G23" s="24" t="n">
        <v>757</v>
      </c>
    </row>
    <row r="27" ht="14.1" customHeight="1" s="7"/>
  </sheetData>
  <mergeCells count="30">
    <mergeCell ref="A9:H9"/>
    <mergeCell ref="A15:H15"/>
    <mergeCell ref="H22:I23"/>
    <mergeCell ref="E5:F5"/>
    <mergeCell ref="A11:H11"/>
    <mergeCell ref="E1:H2"/>
    <mergeCell ref="A21:I21"/>
    <mergeCell ref="E4:F4"/>
    <mergeCell ref="A7:H7"/>
    <mergeCell ref="E3:H3"/>
    <mergeCell ref="A23:F23"/>
    <mergeCell ref="A17:I17"/>
    <mergeCell ref="A22:F22"/>
    <mergeCell ref="G6:H6"/>
    <mergeCell ref="I1:I7"/>
    <mergeCell ref="J1:J23"/>
    <mergeCell ref="A12:H12"/>
    <mergeCell ref="A18:H18"/>
    <mergeCell ref="E6:F6"/>
    <mergeCell ref="I9:I15"/>
    <mergeCell ref="A6:D6"/>
    <mergeCell ref="G5:H5"/>
    <mergeCell ref="A14:H14"/>
    <mergeCell ref="K1:K14"/>
    <mergeCell ref="A8:H8"/>
    <mergeCell ref="K15:K23"/>
    <mergeCell ref="A1:D5"/>
    <mergeCell ref="A10:H10"/>
    <mergeCell ref="A13:H13"/>
    <mergeCell ref="A16:I16"/>
  </mergeCells>
  <pageMargins left="0.07874015748031496" right="0.07874015748031496" top="0.07874015748031496" bottom="0" header="0" footer="0"/>
  <pageSetup orientation="landscape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2026-03-18T15:41:18Z</dcterms:created>
  <dcterms:modified xsi:type="dcterms:W3CDTF">2026-03-19T09:57:31Z</dcterms:modified>
  <cp:lastModifiedBy>Gabriel Loacker</cp:lastModifiedBy>
</cp:coreProperties>
</file>